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  <sheet xmlns:r="http://schemas.openxmlformats.org/officeDocument/2006/relationships" name="Comprobacione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8" customWidth="1" min="23" max="23"/>
  </cols>
  <sheetData>
    <row r="1">
      <c r="A1" s="1" t="inlineStr">
        <is>
          <t>Participante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C1</t>
        </is>
      </c>
      <c r="M1" s="1" t="inlineStr">
        <is>
          <t>C2</t>
        </is>
      </c>
      <c r="N1" s="1" t="inlineStr">
        <is>
          <t>C3</t>
        </is>
      </c>
      <c r="O1" s="1" t="inlineStr">
        <is>
          <t>C4</t>
        </is>
      </c>
      <c r="P1" s="1" t="inlineStr">
        <is>
          <t>C5</t>
        </is>
      </c>
      <c r="Q1" s="1" t="inlineStr">
        <is>
          <t>C6</t>
        </is>
      </c>
      <c r="R1" s="1" t="inlineStr">
        <is>
          <t>C7</t>
        </is>
      </c>
      <c r="S1" s="1" t="inlineStr">
        <is>
          <t>C8</t>
        </is>
      </c>
      <c r="T1" s="1" t="inlineStr">
        <is>
          <t>C9</t>
        </is>
      </c>
      <c r="U1" s="1" t="inlineStr">
        <is>
          <t>C10</t>
        </is>
      </c>
      <c r="V1" s="1" t="inlineStr">
        <is>
          <t>Suma</t>
        </is>
      </c>
      <c r="W1" s="1" t="inlineStr">
        <is>
          <t>SUS</t>
        </is>
      </c>
    </row>
    <row r="2">
      <c r="A2" t="inlineStr">
        <is>
          <t>P1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>
        <f>IF(B2="","",B2-1)</f>
        <v/>
      </c>
      <c r="M2">
        <f>IF(C2="","",5-C2)</f>
        <v/>
      </c>
      <c r="N2">
        <f>IF(D2="","",D2-1)</f>
        <v/>
      </c>
      <c r="O2">
        <f>IF(E2="","",5-E2)</f>
        <v/>
      </c>
      <c r="P2">
        <f>IF(F2="","",F2-1)</f>
        <v/>
      </c>
      <c r="Q2">
        <f>IF(G2="","",5-G2)</f>
        <v/>
      </c>
      <c r="R2">
        <f>IF(H2="","",H2-1)</f>
        <v/>
      </c>
      <c r="S2">
        <f>IF(I2="","",5-I2)</f>
        <v/>
      </c>
      <c r="T2">
        <f>IF(J2="","",J2-1)</f>
        <v/>
      </c>
      <c r="U2">
        <f>IF(K2="","",5-K2)</f>
        <v/>
      </c>
      <c r="V2">
        <f>IF(COUNT(B2:K2)&lt;10,"",SUM(L2:U2))</f>
        <v/>
      </c>
      <c r="W2">
        <f>IF(V2="","",V2*2.5)</f>
        <v/>
      </c>
    </row>
    <row r="3">
      <c r="A3" t="inlineStr">
        <is>
          <t>P2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>
        <f>IF(B3="","",B3-1)</f>
        <v/>
      </c>
      <c r="M3">
        <f>IF(C3="","",5-C3)</f>
        <v/>
      </c>
      <c r="N3">
        <f>IF(D3="","",D3-1)</f>
        <v/>
      </c>
      <c r="O3">
        <f>IF(E3="","",5-E3)</f>
        <v/>
      </c>
      <c r="P3">
        <f>IF(F3="","",F3-1)</f>
        <v/>
      </c>
      <c r="Q3">
        <f>IF(G3="","",5-G3)</f>
        <v/>
      </c>
      <c r="R3">
        <f>IF(H3="","",H3-1)</f>
        <v/>
      </c>
      <c r="S3">
        <f>IF(I3="","",5-I3)</f>
        <v/>
      </c>
      <c r="T3">
        <f>IF(J3="","",J3-1)</f>
        <v/>
      </c>
      <c r="U3">
        <f>IF(K3="","",5-K3)</f>
        <v/>
      </c>
      <c r="V3">
        <f>IF(COUNT(B3:K3)&lt;10,"",SUM(L3:U3))</f>
        <v/>
      </c>
      <c r="W3">
        <f>IF(V3="","",V3*2.5)</f>
        <v/>
      </c>
    </row>
    <row r="4">
      <c r="A4" t="inlineStr">
        <is>
          <t>P3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>
        <f>IF(B4="","",B4-1)</f>
        <v/>
      </c>
      <c r="M4">
        <f>IF(C4="","",5-C4)</f>
        <v/>
      </c>
      <c r="N4">
        <f>IF(D4="","",D4-1)</f>
        <v/>
      </c>
      <c r="O4">
        <f>IF(E4="","",5-E4)</f>
        <v/>
      </c>
      <c r="P4">
        <f>IF(F4="","",F4-1)</f>
        <v/>
      </c>
      <c r="Q4">
        <f>IF(G4="","",5-G4)</f>
        <v/>
      </c>
      <c r="R4">
        <f>IF(H4="","",H4-1)</f>
        <v/>
      </c>
      <c r="S4">
        <f>IF(I4="","",5-I4)</f>
        <v/>
      </c>
      <c r="T4">
        <f>IF(J4="","",J4-1)</f>
        <v/>
      </c>
      <c r="U4">
        <f>IF(K4="","",5-K4)</f>
        <v/>
      </c>
      <c r="V4">
        <f>IF(COUNT(B4:K4)&lt;10,"",SUM(L4:U4))</f>
        <v/>
      </c>
      <c r="W4">
        <f>IF(V4="","",V4*2.5)</f>
        <v/>
      </c>
    </row>
    <row r="5">
      <c r="A5" t="inlineStr">
        <is>
          <t>P4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>
        <f>IF(B5="","",B5-1)</f>
        <v/>
      </c>
      <c r="M5">
        <f>IF(C5="","",5-C5)</f>
        <v/>
      </c>
      <c r="N5">
        <f>IF(D5="","",D5-1)</f>
        <v/>
      </c>
      <c r="O5">
        <f>IF(E5="","",5-E5)</f>
        <v/>
      </c>
      <c r="P5">
        <f>IF(F5="","",F5-1)</f>
        <v/>
      </c>
      <c r="Q5">
        <f>IF(G5="","",5-G5)</f>
        <v/>
      </c>
      <c r="R5">
        <f>IF(H5="","",H5-1)</f>
        <v/>
      </c>
      <c r="S5">
        <f>IF(I5="","",5-I5)</f>
        <v/>
      </c>
      <c r="T5">
        <f>IF(J5="","",J5-1)</f>
        <v/>
      </c>
      <c r="U5">
        <f>IF(K5="","",5-K5)</f>
        <v/>
      </c>
      <c r="V5">
        <f>IF(COUNT(B5:K5)&lt;10,"",SUM(L5:U5))</f>
        <v/>
      </c>
      <c r="W5">
        <f>IF(V5="","",V5*2.5)</f>
        <v/>
      </c>
    </row>
    <row r="6">
      <c r="A6" t="inlineStr">
        <is>
          <t>P5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>
        <f>IF(B6="","",B6-1)</f>
        <v/>
      </c>
      <c r="M6">
        <f>IF(C6="","",5-C6)</f>
        <v/>
      </c>
      <c r="N6">
        <f>IF(D6="","",D6-1)</f>
        <v/>
      </c>
      <c r="O6">
        <f>IF(E6="","",5-E6)</f>
        <v/>
      </c>
      <c r="P6">
        <f>IF(F6="","",F6-1)</f>
        <v/>
      </c>
      <c r="Q6">
        <f>IF(G6="","",5-G6)</f>
        <v/>
      </c>
      <c r="R6">
        <f>IF(H6="","",H6-1)</f>
        <v/>
      </c>
      <c r="S6">
        <f>IF(I6="","",5-I6)</f>
        <v/>
      </c>
      <c r="T6">
        <f>IF(J6="","",J6-1)</f>
        <v/>
      </c>
      <c r="U6">
        <f>IF(K6="","",5-K6)</f>
        <v/>
      </c>
      <c r="V6">
        <f>IF(COUNT(B6:K6)&lt;10,"",SUM(L6:U6))</f>
        <v/>
      </c>
      <c r="W6">
        <f>IF(V6="","",V6*2.5)</f>
        <v/>
      </c>
    </row>
    <row r="7">
      <c r="A7" t="inlineStr">
        <is>
          <t>P6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>
        <f>IF(B7="","",B7-1)</f>
        <v/>
      </c>
      <c r="M7">
        <f>IF(C7="","",5-C7)</f>
        <v/>
      </c>
      <c r="N7">
        <f>IF(D7="","",D7-1)</f>
        <v/>
      </c>
      <c r="O7">
        <f>IF(E7="","",5-E7)</f>
        <v/>
      </c>
      <c r="P7">
        <f>IF(F7="","",F7-1)</f>
        <v/>
      </c>
      <c r="Q7">
        <f>IF(G7="","",5-G7)</f>
        <v/>
      </c>
      <c r="R7">
        <f>IF(H7="","",H7-1)</f>
        <v/>
      </c>
      <c r="S7">
        <f>IF(I7="","",5-I7)</f>
        <v/>
      </c>
      <c r="T7">
        <f>IF(J7="","",J7-1)</f>
        <v/>
      </c>
      <c r="U7">
        <f>IF(K7="","",5-K7)</f>
        <v/>
      </c>
      <c r="V7">
        <f>IF(COUNT(B7:K7)&lt;10,"",SUM(L7:U7))</f>
        <v/>
      </c>
      <c r="W7">
        <f>IF(V7="","",V7*2.5)</f>
        <v/>
      </c>
    </row>
    <row r="8">
      <c r="A8" t="inlineStr">
        <is>
          <t>P7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>
        <f>IF(B8="","",B8-1)</f>
        <v/>
      </c>
      <c r="M8">
        <f>IF(C8="","",5-C8)</f>
        <v/>
      </c>
      <c r="N8">
        <f>IF(D8="","",D8-1)</f>
        <v/>
      </c>
      <c r="O8">
        <f>IF(E8="","",5-E8)</f>
        <v/>
      </c>
      <c r="P8">
        <f>IF(F8="","",F8-1)</f>
        <v/>
      </c>
      <c r="Q8">
        <f>IF(G8="","",5-G8)</f>
        <v/>
      </c>
      <c r="R8">
        <f>IF(H8="","",H8-1)</f>
        <v/>
      </c>
      <c r="S8">
        <f>IF(I8="","",5-I8)</f>
        <v/>
      </c>
      <c r="T8">
        <f>IF(J8="","",J8-1)</f>
        <v/>
      </c>
      <c r="U8">
        <f>IF(K8="","",5-K8)</f>
        <v/>
      </c>
      <c r="V8">
        <f>IF(COUNT(B8:K8)&lt;10,"",SUM(L8:U8))</f>
        <v/>
      </c>
      <c r="W8">
        <f>IF(V8="","",V8*2.5)</f>
        <v/>
      </c>
    </row>
    <row r="10">
      <c r="A10" s="3" t="inlineStr">
        <is>
          <t>Promedio</t>
        </is>
      </c>
      <c r="W10" s="3">
        <f>IF(COUNT(W2:W8)=0,"",AVERAGE(W2:W8))</f>
        <v/>
      </c>
    </row>
    <row r="11">
      <c r="A11" s="3" t="inlineStr">
        <is>
          <t>Participantes con SUS</t>
        </is>
      </c>
      <c r="W11">
        <f>COUNT(W2:W8)</f>
        <v/>
      </c>
    </row>
    <row r="13">
      <c r="A13" t="inlineStr">
        <is>
          <t>Las celdas amarillas son las respuestas (1 a 5) del formulario. C1..C10 son las contribuciones: impares = respuesta - 1, pares = 5 - respuesta. SUS = suma x 2,5. Brooke (1996).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Caso</t>
        </is>
      </c>
      <c r="B1" s="3" t="inlineStr">
        <is>
          <t>P1</t>
        </is>
      </c>
      <c r="C1" s="3" t="inlineStr">
        <is>
          <t>P2</t>
        </is>
      </c>
      <c r="D1" s="3" t="inlineStr">
        <is>
          <t>P3</t>
        </is>
      </c>
      <c r="E1" s="3" t="inlineStr">
        <is>
          <t>P4</t>
        </is>
      </c>
      <c r="F1" s="3" t="inlineStr">
        <is>
          <t>P5</t>
        </is>
      </c>
      <c r="G1" s="3" t="inlineStr">
        <is>
          <t>P6</t>
        </is>
      </c>
      <c r="H1" s="3" t="inlineStr">
        <is>
          <t>P7</t>
        </is>
      </c>
      <c r="I1" s="3" t="inlineStr">
        <is>
          <t>P8</t>
        </is>
      </c>
      <c r="J1" s="3" t="inlineStr">
        <is>
          <t>P9</t>
        </is>
      </c>
      <c r="K1" s="3" t="inlineStr">
        <is>
          <t>P10</t>
        </is>
      </c>
      <c r="L1" s="3" t="inlineStr">
        <is>
          <t>SUS calculado</t>
        </is>
      </c>
      <c r="M1" s="3" t="inlineStr">
        <is>
          <t>Esperado</t>
        </is>
      </c>
      <c r="N1" s="3" t="inlineStr">
        <is>
          <t>Coincide</t>
        </is>
      </c>
    </row>
    <row r="2">
      <c r="A2" t="inlineStr">
        <is>
          <t>Todo en 3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>
        <f>((B2-1)+(5-C2)+(D2-1)+(5-E2)+(F2-1)+(5-G2)+(H2-1)+(5-I2)+(J2-1)+(5-K2))*2.5</f>
        <v/>
      </c>
      <c r="M2" t="n">
        <v>50</v>
      </c>
      <c r="N2">
        <f>IF(L2=M2,"si","NO")</f>
        <v/>
      </c>
    </row>
    <row r="3">
      <c r="A3" t="inlineStr">
        <is>
          <t>Mejor caso</t>
        </is>
      </c>
      <c r="B3" t="n">
        <v>5</v>
      </c>
      <c r="C3" t="n">
        <v>1</v>
      </c>
      <c r="D3" t="n">
        <v>5</v>
      </c>
      <c r="E3" t="n">
        <v>1</v>
      </c>
      <c r="F3" t="n">
        <v>5</v>
      </c>
      <c r="G3" t="n">
        <v>1</v>
      </c>
      <c r="H3" t="n">
        <v>5</v>
      </c>
      <c r="I3" t="n">
        <v>1</v>
      </c>
      <c r="J3" t="n">
        <v>5</v>
      </c>
      <c r="K3" t="n">
        <v>1</v>
      </c>
      <c r="L3">
        <f>((B3-1)+(5-C3)+(D3-1)+(5-E3)+(F3-1)+(5-G3)+(H3-1)+(5-I3)+(J3-1)+(5-K3))*2.5</f>
        <v/>
      </c>
      <c r="M3" t="n">
        <v>100</v>
      </c>
      <c r="N3">
        <f>IF(L3=M3,"si","NO")</f>
        <v/>
      </c>
    </row>
    <row r="4">
      <c r="A4" t="inlineStr">
        <is>
          <t>Peor caso</t>
        </is>
      </c>
      <c r="B4" t="n">
        <v>1</v>
      </c>
      <c r="C4" t="n">
        <v>5</v>
      </c>
      <c r="D4" t="n">
        <v>1</v>
      </c>
      <c r="E4" t="n">
        <v>5</v>
      </c>
      <c r="F4" t="n">
        <v>1</v>
      </c>
      <c r="G4" t="n">
        <v>5</v>
      </c>
      <c r="H4" t="n">
        <v>1</v>
      </c>
      <c r="I4" t="n">
        <v>5</v>
      </c>
      <c r="J4" t="n">
        <v>1</v>
      </c>
      <c r="K4" t="n">
        <v>5</v>
      </c>
      <c r="L4">
        <f>((B4-1)+(5-C4)+(D4-1)+(5-E4)+(F4-1)+(5-G4)+(H4-1)+(5-I4)+(J4-1)+(5-K4))*2.5</f>
        <v/>
      </c>
      <c r="M4" t="n">
        <v>0</v>
      </c>
      <c r="N4">
        <f>IF(L4=M4,"si","NO")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20" customWidth="1" min="4" max="4"/>
    <col width="24" customWidth="1" min="5" max="5"/>
    <col width="9" customWidth="1" min="6" max="6"/>
    <col width="30" customWidth="1" min="7" max="7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Perfil tecnico</t>
        </is>
      </c>
      <c r="D1" s="3" t="inlineStr">
        <is>
          <t>Rol en la prueba</t>
        </is>
      </c>
      <c r="E1" s="3" t="inlineStr">
        <is>
          <t>Fecha y hora confirmada</t>
        </is>
      </c>
      <c r="F1" s="3" t="inlineStr">
        <is>
          <t>Suplente</t>
        </is>
      </c>
      <c r="G1" s="3" t="inlineStr">
        <is>
          <t>Notas</t>
        </is>
      </c>
    </row>
    <row r="2">
      <c r="A2" t="inlineStr">
        <is>
          <t>P1</t>
        </is>
      </c>
      <c r="B2" t="inlineStr"/>
      <c r="C2" t="inlineStr"/>
      <c r="D2" t="inlineStr">
        <is>
          <t>operador y finanzas</t>
        </is>
      </c>
      <c r="E2" t="inlineStr"/>
      <c r="F2" t="inlineStr">
        <is>
          <t>no</t>
        </is>
      </c>
      <c r="G2" t="inlineStr"/>
    </row>
    <row r="3">
      <c r="A3" t="inlineStr">
        <is>
          <t>P2</t>
        </is>
      </c>
      <c r="B3" t="inlineStr"/>
      <c r="C3" t="inlineStr"/>
      <c r="D3" t="inlineStr">
        <is>
          <t>operador y finanzas</t>
        </is>
      </c>
      <c r="E3" t="inlineStr"/>
      <c r="F3" t="inlineStr">
        <is>
          <t>no</t>
        </is>
      </c>
      <c r="G3" t="inlineStr"/>
    </row>
    <row r="4">
      <c r="A4" t="inlineStr">
        <is>
          <t>P3</t>
        </is>
      </c>
      <c r="B4" t="inlineStr"/>
      <c r="C4" t="inlineStr"/>
      <c r="D4" t="inlineStr">
        <is>
          <t>operador y finanzas</t>
        </is>
      </c>
      <c r="E4" t="inlineStr"/>
      <c r="F4" t="inlineStr">
        <is>
          <t>no</t>
        </is>
      </c>
      <c r="G4" t="inlineStr"/>
    </row>
    <row r="5">
      <c r="A5" t="inlineStr">
        <is>
          <t>P4</t>
        </is>
      </c>
      <c r="B5" t="inlineStr"/>
      <c r="C5" t="inlineStr"/>
      <c r="D5" t="inlineStr">
        <is>
          <t>operador y finanzas</t>
        </is>
      </c>
      <c r="E5" t="inlineStr"/>
      <c r="F5" t="inlineStr">
        <is>
          <t>no</t>
        </is>
      </c>
      <c r="G5" t="inlineStr"/>
    </row>
    <row r="6">
      <c r="A6" t="inlineStr">
        <is>
          <t>P5</t>
        </is>
      </c>
      <c r="B6" t="inlineStr"/>
      <c r="C6" t="inlineStr"/>
      <c r="D6" t="inlineStr">
        <is>
          <t>operador y finanzas</t>
        </is>
      </c>
      <c r="E6" t="inlineStr"/>
      <c r="F6" t="inlineStr">
        <is>
          <t>no</t>
        </is>
      </c>
      <c r="G6" t="inlineStr"/>
    </row>
    <row r="7">
      <c r="A7" t="inlineStr">
        <is>
          <t>P6</t>
        </is>
      </c>
      <c r="B7" t="inlineStr"/>
      <c r="C7" t="inlineStr"/>
      <c r="D7" t="inlineStr">
        <is>
          <t>operador y finanzas</t>
        </is>
      </c>
      <c r="E7" t="inlineStr"/>
      <c r="F7" t="inlineStr">
        <is>
          <t>si</t>
        </is>
      </c>
      <c r="G7" t="inlineStr"/>
    </row>
    <row r="8">
      <c r="A8" t="inlineStr">
        <is>
          <t>P7</t>
        </is>
      </c>
      <c r="B8" t="inlineStr"/>
      <c r="C8" t="inlineStr"/>
      <c r="D8" t="inlineStr">
        <is>
          <t>operador y finanzas</t>
        </is>
      </c>
      <c r="E8" t="inlineStr"/>
      <c r="F8" t="inlineStr">
        <is>
          <t>si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2026-10-23T19:16:02Z</dcterms:created>
  <dcterms:modified xmlns:dcterms="http://purl.org/dc/terms/" xmlns:xsi="http://www.w3.org/2001/XMLSchema-instance" xsi:type="dcterms:W3CDTF">2026-10-23T19:16:02Z</dcterms:modified>
</cp:coreProperties>
</file>